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ursor_Projects\Fall_Risk_Score\FallRisk_Pilot_HealthcarePlans\"/>
    </mc:Choice>
  </mc:AlternateContent>
  <xr:revisionPtr revIDLastSave="0" documentId="13_ncr:1_{1D87363B-BF62-4BB1-8439-7668595D22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trics Summary" sheetId="1" r:id="rId1"/>
    <sheet name="Performance metrics" sheetId="8" r:id="rId2"/>
    <sheet name="Model and Parameter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<sst xmlns="http://schemas.openxmlformats.org/spreadsheetml/2006/main" count="154" uniqueCount="121">
  <si>
    <t>Month</t>
  </si>
  <si>
    <t>ROC_AUC</t>
  </si>
  <si>
    <t>Accuracy</t>
  </si>
  <si>
    <t>Precision</t>
  </si>
  <si>
    <t>Recall</t>
  </si>
  <si>
    <t>F1</t>
  </si>
  <si>
    <t>TN</t>
  </si>
  <si>
    <t>FP</t>
  </si>
  <si>
    <t>FN</t>
  </si>
  <si>
    <t>TP</t>
  </si>
  <si>
    <t>Parameters</t>
  </si>
  <si>
    <t>Value</t>
  </si>
  <si>
    <t>optimal_threshold</t>
  </si>
  <si>
    <t>max_depth</t>
  </si>
  <si>
    <t>n_estimators</t>
  </si>
  <si>
    <t>learning_rate</t>
  </si>
  <si>
    <t>subsample</t>
  </si>
  <si>
    <t>colsample_bytree</t>
  </si>
  <si>
    <t>colsample_bylevel</t>
  </si>
  <si>
    <t>min_child_weight</t>
  </si>
  <si>
    <t>gamma</t>
  </si>
  <si>
    <t>reg_alpha</t>
  </si>
  <si>
    <t>reg_lambda</t>
  </si>
  <si>
    <t>random_state</t>
  </si>
  <si>
    <t>eval_metric</t>
  </si>
  <si>
    <t>use_label_encoder</t>
  </si>
  <si>
    <t>tree_method</t>
  </si>
  <si>
    <t>max_bin</t>
  </si>
  <si>
    <t>min_split_loss</t>
  </si>
  <si>
    <t>scal_pos_weight</t>
  </si>
  <si>
    <t>base_ration*3.5(or 12 if no class weights)</t>
  </si>
  <si>
    <t>logloss'</t>
  </si>
  <si>
    <t>hist'</t>
  </si>
  <si>
    <t>XGBoost (Default)</t>
  </si>
  <si>
    <t>RandomForest</t>
  </si>
  <si>
    <t>min_samples_split</t>
  </si>
  <si>
    <t>min_samples_leaf</t>
  </si>
  <si>
    <t>class_weight</t>
  </si>
  <si>
    <t>balanced'</t>
  </si>
  <si>
    <t>n_jobs</t>
  </si>
  <si>
    <t>GradientBoosting</t>
  </si>
  <si>
    <t>random_estate</t>
  </si>
  <si>
    <t>LogisticRegression</t>
  </si>
  <si>
    <t>max_iter</t>
  </si>
  <si>
    <t>solver</t>
  </si>
  <si>
    <t xml:space="preserve">Available models for Fall Risk AI Model Beta Version </t>
  </si>
  <si>
    <t>balanced</t>
  </si>
  <si>
    <t>liblinear</t>
  </si>
  <si>
    <r>
      <rPr>
        <sz val="16"/>
        <color theme="1"/>
        <rFont val="Calibri"/>
        <family val="2"/>
        <scheme val="minor"/>
      </rPr>
      <t>Primary Metrics (Critical) - Monthly Review</t>
    </r>
    <r>
      <rPr>
        <sz val="11"/>
        <color theme="1"/>
        <rFont val="Calibri"/>
        <family val="2"/>
        <scheme val="minor"/>
      </rPr>
      <t xml:space="preserve">
</t>
    </r>
  </si>
  <si>
    <t>Metric</t>
  </si>
  <si>
    <t>Target</t>
  </si>
  <si>
    <t>Good</t>
  </si>
  <si>
    <t>Warning</t>
  </si>
  <si>
    <t>Critical</t>
  </si>
  <si>
    <t>Recall (Sensitivity)</t>
  </si>
  <si>
    <t>≥75%</t>
  </si>
  <si>
    <t>65-74%</t>
  </si>
  <si>
    <t>&lt;65%</t>
  </si>
  <si>
    <t>False Negatives</t>
  </si>
  <si>
    <t>≤15</t>
  </si>
  <si>
    <t>16-25</t>
  </si>
  <si>
    <t>&gt;25</t>
  </si>
  <si>
    <t>ROC-AUC</t>
  </si>
  <si>
    <t>70-74%</t>
  </si>
  <si>
    <t>&lt;70%</t>
  </si>
  <si>
    <t>Secondary Metrics (Efficiency) - Monthly Review</t>
  </si>
  <si>
    <t>≥1.0%</t>
  </si>
  <si>
    <t>≥1.2%</t>
  </si>
  <si>
    <t>0.8-1.2%</t>
  </si>
  <si>
    <t>&lt;0.8%</t>
  </si>
  <si>
    <t>False Positives</t>
  </si>
  <si>
    <t>≤5,000</t>
  </si>
  <si>
    <t>≤4,000</t>
  </si>
  <si>
    <t>4,000-6,000</t>
  </si>
  <si>
    <t>&gt;6,000</t>
  </si>
  <si>
    <t>F1-Score</t>
  </si>
  <si>
    <t>≥2.0%</t>
  </si>
  <si>
    <t>≥2.5%</t>
  </si>
  <si>
    <t>1.5-2.5%</t>
  </si>
  <si>
    <t>&lt;1.5%</t>
  </si>
  <si>
    <t>TERTIARY METRICS (Data Quality) - Monthly Review</t>
  </si>
  <si>
    <t>≥80%</t>
  </si>
  <si>
    <t>70-80%</t>
  </si>
  <si>
    <t>True Positives</t>
  </si>
  <si>
    <t>≥30</t>
  </si>
  <si>
    <t>≥35</t>
  </si>
  <si>
    <t>20-35</t>
  </si>
  <si>
    <t>&lt;20</t>
  </si>
  <si>
    <t>Fall Rate</t>
  </si>
  <si>
    <t>0.25-0.35%</t>
  </si>
  <si>
    <t>0.27-0.30%</t>
  </si>
  <si>
    <t>0.20-0.35%</t>
  </si>
  <si>
    <t>&lt;0.20% or &gt;0.40%</t>
  </si>
  <si>
    <t>Monthly Review</t>
  </si>
  <si>
    <t>Review Item</t>
  </si>
  <si>
    <t>Check Against</t>
  </si>
  <si>
    <t>Generate Report</t>
  </si>
  <si>
    <t>All metrics</t>
  </si>
  <si>
    <t>Historical baseline</t>
  </si>
  <si>
    <t>Monthly performance report</t>
  </si>
  <si>
    <t>Trend analysis</t>
  </si>
  <si>
    <t>Last 3-6 months</t>
  </si>
  <si>
    <t>Performance trend charts</t>
  </si>
  <si>
    <t>Model health</t>
  </si>
  <si>
    <t>Warning thresholds</t>
  </si>
  <si>
    <t>Health status dashboard</t>
  </si>
  <si>
    <t>Improvement tracking</t>
  </si>
  <si>
    <t>Baseline (best month)</t>
  </si>
  <si>
    <t>Improvement percentage</t>
  </si>
  <si>
    <t>Quarterly Review</t>
  </si>
  <si>
    <t>Analysis Type</t>
  </si>
  <si>
    <t>Purpose</t>
  </si>
  <si>
    <t>Configuration comparison</t>
  </si>
  <si>
    <t>Test if different threshold/depth performs better</t>
  </si>
  <si>
    <t>Cost-benefit analysis</t>
  </si>
  <si>
    <t>FP cost vs FN cost trade-offs</t>
  </si>
  <si>
    <t>Feature importance review</t>
  </si>
  <si>
    <t>Which features driving predictions</t>
  </si>
  <si>
    <t>Population changes</t>
  </si>
  <si>
    <t>Demographics, turnover, new programs</t>
  </si>
  <si>
    <t>Model Performance metrics - Final Model (Members = 16639)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</si>
</sst>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vertical="center"/>
    </xf>
    <xf numFmtId="0" fontId="0" fillId="0" borderId="9" xfId="0" applyBorder="1"/>
    <xf numFmtId="10" fontId="0" fillId="0" borderId="3" xfId="0" applyNumberFormat="1" applyBorder="1"/>
    <xf numFmtId="3" fontId="0" fillId="0" borderId="3" xfId="0" applyNumberFormat="1" applyBorder="1"/>
    <xf numFmtId="0" fontId="0" fillId="0" borderId="8" xfId="0" applyBorder="1" applyAlignment="1">
      <alignment vertical="center"/>
    </xf>
    <xf numFmtId="10" fontId="0" fillId="0" borderId="3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6" xfId="0" quotePrefix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5" fillId="0" borderId="0" xfId="0" applyFont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10" fontId="6" fillId="5" borderId="1" xfId="1" applyNumberFormat="1" applyFont="1" applyFill="1" applyBorder="1" applyAlignment="1">
      <alignment horizontal="center" vertical="center" wrapText="1"/>
    </xf>
    <xf numFmtId="10" fontId="0" fillId="0" borderId="3" xfId="1" applyNumberFormat="1" applyFont="1" applyFill="1" applyBorder="1"/>
    <xf numFmtId="10" fontId="0" fillId="0" borderId="0" xfId="1" applyNumberFormat="1" applyFont="1" applyFill="1" applyBorder="1"/>
    <xf numFmtId="10" fontId="0" fillId="0" borderId="0" xfId="1" applyNumberFormat="1" applyFont="1"/>
    <xf numFmtId="0" fontId="6" fillId="0" borderId="1" xfId="0" applyFont="1" applyBorder="1" applyAlignment="1">
      <alignment horizontal="center" vertical="center" wrapText="1"/>
    </xf>
    <xf numFmtId="10" fontId="0" fillId="0" borderId="0" xfId="0" applyNumberFormat="1"/>
    <xf numFmtId="10" fontId="0" fillId="0" borderId="0" xfId="0" applyNumberFormat="1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vertical="center"/>
    </xf>
    <xf numFmtId="17" fontId="0" fillId="0" borderId="2" xfId="0" applyNumberFormat="1" applyBorder="1" applyAlignment="1">
      <alignment vertical="center"/>
    </xf>
    <xf numFmtId="17" fontId="0" fillId="0" borderId="5" xfId="0" applyNumberFormat="1" applyBorder="1" applyAlignment="1">
      <alignment vertical="center"/>
    </xf>
    <xf numFmtId="17" fontId="0" fillId="0" borderId="7" xfId="0" applyNumberFormat="1" applyBorder="1" applyAlignment="1">
      <alignment vertical="center"/>
    </xf>
    <xf numFmtId="10" fontId="0" fillId="0" borderId="8" xfId="1" applyNumberFormat="1" applyFont="1" applyFill="1" applyBorder="1"/>
    <xf numFmtId="10" fontId="0" fillId="0" borderId="8" xfId="0" applyNumberFormat="1" applyBorder="1"/>
    <xf numFmtId="10" fontId="0" fillId="0" borderId="8" xfId="0" applyNumberFormat="1" applyBorder="1" applyAlignment="1">
      <alignment vertical="center"/>
    </xf>
    <xf numFmtId="3" fontId="0" fillId="0" borderId="8" xfId="0" applyNumberFormat="1" applyBorder="1"/>
    <xf numFmtId="3" fontId="0" fillId="0" borderId="8" xfId="0" applyNumberFormat="1" applyBorder="1" applyAlignment="1">
      <alignment vertical="center"/>
    </xf>
    <xf numFmtId="0" fontId="7" fillId="3" borderId="10" xfId="0" applyFont="1" applyFill="1" applyBorder="1" applyAlignment="1">
      <alignment horizontal="center" wrapText="1"/>
    </xf>
    <xf numFmtId="0" fontId="7" fillId="3" borderId="16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8"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1" topLeftCell="A2" activePane="bottomLeft" state="frozen"/>
      <selection pane="bottomLeft" activeCell="E29" sqref="E29"/>
    </sheetView>
  </sheetViews>
  <sheetFormatPr defaultRowHeight="14.4" x14ac:dyDescent="0.3"/>
  <cols>
    <col min="1" max="1" width="18.109375" customWidth="1"/>
    <col min="2" max="2" width="11" style="36" customWidth="1"/>
    <col min="3" max="3" width="12.33203125" customWidth="1"/>
    <col min="4" max="4" width="10.6640625" customWidth="1"/>
    <col min="5" max="5" width="10.109375" customWidth="1"/>
    <col min="6" max="6" width="8.33203125" customWidth="1"/>
    <col min="7" max="10" width="10" customWidth="1"/>
  </cols>
  <sheetData>
    <row r="1" spans="1:10" ht="15" thickBot="1" x14ac:dyDescent="0.35"/>
    <row r="2" spans="1:10" ht="23.4" customHeight="1" thickBot="1" x14ac:dyDescent="0.4">
      <c r="A2" s="50" t="s">
        <v>120</v>
      </c>
      <c r="B2" s="51"/>
      <c r="C2" s="51"/>
      <c r="D2" s="51"/>
      <c r="E2" s="51"/>
      <c r="F2" s="51"/>
      <c r="G2" s="51"/>
      <c r="H2" s="51"/>
      <c r="I2" s="51"/>
      <c r="J2" s="52"/>
    </row>
    <row r="3" spans="1:10" ht="22.2" customHeight="1" thickBot="1" x14ac:dyDescent="0.35">
      <c r="A3" s="32" t="s">
        <v>0</v>
      </c>
      <c r="B3" s="33" t="s">
        <v>1</v>
      </c>
      <c r="C3" s="32" t="s">
        <v>2</v>
      </c>
      <c r="D3" s="32" t="s">
        <v>3</v>
      </c>
      <c r="E3" s="37" t="s">
        <v>4</v>
      </c>
      <c r="F3" s="32" t="s">
        <v>5</v>
      </c>
      <c r="G3" s="32" t="s">
        <v>6</v>
      </c>
      <c r="H3" s="32" t="s">
        <v>7</v>
      </c>
      <c r="I3" s="32" t="s">
        <v>8</v>
      </c>
      <c r="J3" s="32" t="s">
        <v>9</v>
      </c>
    </row>
    <row r="4" spans="1:10" x14ac:dyDescent="0.3">
      <c r="A4" s="42">
        <v>45778</v>
      </c>
      <c r="B4" s="34">
        <v>0.78910000000000002</v>
      </c>
      <c r="C4" s="5">
        <v>0.80520000000000003</v>
      </c>
      <c r="D4" s="5">
        <v>8.3000000000000001E-3</v>
      </c>
      <c r="E4" s="5">
        <v>0.58699999999999997</v>
      </c>
      <c r="F4" s="8">
        <v>1.6400000000000001E-2</v>
      </c>
      <c r="G4" s="6">
        <v>13371</v>
      </c>
      <c r="H4" s="9">
        <v>3222</v>
      </c>
      <c r="I4" s="9">
        <v>19</v>
      </c>
      <c r="J4" s="1">
        <v>27</v>
      </c>
    </row>
    <row r="5" spans="1:10" x14ac:dyDescent="0.3">
      <c r="A5" s="43">
        <v>45809</v>
      </c>
      <c r="B5" s="35">
        <v>0.79930000000000001</v>
      </c>
      <c r="C5" s="38">
        <v>0.86470000000000002</v>
      </c>
      <c r="D5" s="38">
        <v>1.8499999999999999E-2</v>
      </c>
      <c r="E5" s="38">
        <v>0.63639999999999997</v>
      </c>
      <c r="F5" s="39">
        <v>3.5999999999999997E-2</v>
      </c>
      <c r="G5" s="40">
        <v>14345</v>
      </c>
      <c r="H5" s="41">
        <v>2228</v>
      </c>
      <c r="I5" s="41">
        <v>24</v>
      </c>
      <c r="J5" s="2">
        <v>42</v>
      </c>
    </row>
    <row r="6" spans="1:10" x14ac:dyDescent="0.3">
      <c r="A6" s="43">
        <v>45839</v>
      </c>
      <c r="B6" s="35">
        <v>0.83860000000000001</v>
      </c>
      <c r="C6" s="38">
        <v>0.88200000000000001</v>
      </c>
      <c r="D6" s="38">
        <v>2.4199999999999999E-2</v>
      </c>
      <c r="E6" s="38">
        <v>0.62339999999999995</v>
      </c>
      <c r="F6" s="39">
        <v>4.6600000000000003E-2</v>
      </c>
      <c r="G6" s="40">
        <v>14628</v>
      </c>
      <c r="H6" s="41">
        <v>1934</v>
      </c>
      <c r="I6" s="41">
        <v>29</v>
      </c>
      <c r="J6" s="2">
        <v>48</v>
      </c>
    </row>
    <row r="7" spans="1:10" x14ac:dyDescent="0.3">
      <c r="A7" s="43">
        <v>45870</v>
      </c>
      <c r="B7" s="35">
        <v>0.85909999999999997</v>
      </c>
      <c r="C7" s="38">
        <v>0.65849999999999997</v>
      </c>
      <c r="D7" s="38">
        <v>1.12E-2</v>
      </c>
      <c r="E7" s="38">
        <v>0.8649</v>
      </c>
      <c r="F7" s="39">
        <v>2.1999999999999999E-2</v>
      </c>
      <c r="G7" s="40">
        <v>10893</v>
      </c>
      <c r="H7" s="41">
        <v>5672</v>
      </c>
      <c r="I7" s="41">
        <v>10</v>
      </c>
      <c r="J7" s="2">
        <v>64</v>
      </c>
    </row>
    <row r="8" spans="1:10" x14ac:dyDescent="0.3">
      <c r="A8" s="43">
        <v>45901</v>
      </c>
      <c r="B8" s="35">
        <v>0.87639999999999996</v>
      </c>
      <c r="C8" s="38">
        <v>0.76570000000000005</v>
      </c>
      <c r="D8" s="38">
        <v>1.32E-2</v>
      </c>
      <c r="E8" s="38">
        <v>0.85250000000000004</v>
      </c>
      <c r="F8" s="39">
        <v>2.5999999999999999E-2</v>
      </c>
      <c r="G8" s="40">
        <v>12689</v>
      </c>
      <c r="H8" s="41">
        <v>3889</v>
      </c>
      <c r="I8" s="41">
        <v>9</v>
      </c>
      <c r="J8" s="2">
        <v>52</v>
      </c>
    </row>
    <row r="9" spans="1:10" x14ac:dyDescent="0.3">
      <c r="A9" s="43">
        <v>45931</v>
      </c>
      <c r="B9" s="35">
        <v>0.88400000000000001</v>
      </c>
      <c r="C9" s="38">
        <v>0.86599999999999999</v>
      </c>
      <c r="D9" s="38">
        <v>2.1700000000000001E-2</v>
      </c>
      <c r="E9" s="38">
        <v>0.75380000000000003</v>
      </c>
      <c r="F9" s="39">
        <v>4.2099999999999999E-2</v>
      </c>
      <c r="G9" s="40">
        <v>14361</v>
      </c>
      <c r="H9" s="41">
        <v>2213</v>
      </c>
      <c r="I9" s="41">
        <v>16</v>
      </c>
      <c r="J9" s="2">
        <v>49</v>
      </c>
    </row>
    <row r="10" spans="1:10" x14ac:dyDescent="0.3">
      <c r="A10" s="43">
        <v>45962</v>
      </c>
      <c r="B10" s="35">
        <v>0.86799999999999999</v>
      </c>
      <c r="C10" s="38">
        <v>0.83299999999999996</v>
      </c>
      <c r="D10" s="38">
        <v>1.5699999999999999E-2</v>
      </c>
      <c r="E10" s="38">
        <v>0.74580000000000002</v>
      </c>
      <c r="F10" s="39">
        <v>3.0700000000000002E-2</v>
      </c>
      <c r="G10" s="40">
        <v>13817</v>
      </c>
      <c r="H10" s="41">
        <v>2763</v>
      </c>
      <c r="I10" s="41">
        <v>15</v>
      </c>
      <c r="J10" s="2">
        <v>44</v>
      </c>
    </row>
    <row r="11" spans="1:10" x14ac:dyDescent="0.3">
      <c r="A11" s="43">
        <v>45992</v>
      </c>
      <c r="B11" s="35">
        <v>0.86250000000000004</v>
      </c>
      <c r="C11" s="38">
        <v>0.84740000000000004</v>
      </c>
      <c r="D11" s="38">
        <v>1.7999999999999999E-2</v>
      </c>
      <c r="E11" s="38">
        <v>0.85</v>
      </c>
      <c r="F11" s="39">
        <v>3.5299999999999998E-2</v>
      </c>
      <c r="G11" s="40">
        <v>12857</v>
      </c>
      <c r="H11" s="41">
        <v>3702</v>
      </c>
      <c r="I11" s="41">
        <v>12</v>
      </c>
      <c r="J11" s="2">
        <v>68</v>
      </c>
    </row>
    <row r="12" spans="1:10" ht="15" thickBot="1" x14ac:dyDescent="0.35">
      <c r="A12" s="44">
        <v>46023</v>
      </c>
      <c r="B12" s="45">
        <v>0.85440000000000005</v>
      </c>
      <c r="C12" s="46">
        <v>0.83679999999999999</v>
      </c>
      <c r="D12" s="46">
        <v>1.8599999999999998E-2</v>
      </c>
      <c r="E12" s="46">
        <v>0.71830000000000005</v>
      </c>
      <c r="F12" s="47">
        <v>3.6200000000000003E-2</v>
      </c>
      <c r="G12" s="48">
        <v>13873</v>
      </c>
      <c r="H12" s="49">
        <v>2695</v>
      </c>
      <c r="I12" s="49">
        <v>20</v>
      </c>
      <c r="J12" s="4">
        <v>51</v>
      </c>
    </row>
  </sheetData>
  <mergeCells count="1">
    <mergeCell ref="A2:J2"/>
  </mergeCells>
  <phoneticPr fontId="1" type="noConversion"/>
  <conditionalFormatting sqref="B1:B1048576">
    <cfRule type="containsBlanks" dxfId="17" priority="23">
      <formula>LEN(TRIM(B1))=0</formula>
    </cfRule>
    <cfRule type="cellIs" dxfId="16" priority="24" operator="lessThan">
      <formula>0.7</formula>
    </cfRule>
    <cfRule type="cellIs" dxfId="15" priority="25" operator="between">
      <formula>0.7</formula>
      <formula>0.75</formula>
    </cfRule>
    <cfRule type="cellIs" dxfId="14" priority="26" operator="greaterThanOrEqual">
      <formula>0.75</formula>
    </cfRule>
  </conditionalFormatting>
  <conditionalFormatting sqref="B3">
    <cfRule type="notContainsBlanks" dxfId="13" priority="2">
      <formula>LEN(TRIM(B3))&gt;0</formula>
    </cfRule>
  </conditionalFormatting>
  <conditionalFormatting sqref="D3:E3">
    <cfRule type="notContainsBlanks" dxfId="12" priority="3">
      <formula>LEN(TRIM(D3))&gt;0</formula>
    </cfRule>
  </conditionalFormatting>
  <conditionalFormatting sqref="E1:E1048576">
    <cfRule type="containsBlanks" dxfId="11" priority="41">
      <formula>LEN(TRIM(E1))=0</formula>
    </cfRule>
    <cfRule type="containsBlanks" priority="42">
      <formula>LEN(TRIM(E1))=0</formula>
    </cfRule>
    <cfRule type="cellIs" dxfId="10" priority="45" operator="lessThan">
      <formula>0.65</formula>
    </cfRule>
    <cfRule type="cellIs" dxfId="9" priority="46" operator="between">
      <formula>0.65</formula>
      <formula>0.75</formula>
    </cfRule>
    <cfRule type="cellIs" dxfId="8" priority="48" operator="greaterThanOrEqual">
      <formula>0.75</formula>
    </cfRule>
  </conditionalFormatting>
  <conditionalFormatting sqref="E3">
    <cfRule type="notContainsBlanks" dxfId="7" priority="5">
      <formula>LEN(TRIM(E3))&gt;0</formula>
    </cfRule>
  </conditionalFormatting>
  <conditionalFormatting sqref="I1:I1048576">
    <cfRule type="cellIs" dxfId="6" priority="37" operator="greaterThan">
      <formula>25</formula>
    </cfRule>
    <cfRule type="cellIs" dxfId="5" priority="38" operator="between">
      <formula>16</formula>
      <formula>25</formula>
    </cfRule>
    <cfRule type="cellIs" dxfId="4" priority="39" operator="lessThanOrEqual">
      <formula>15</formula>
    </cfRule>
    <cfRule type="containsBlanks" dxfId="3" priority="40">
      <formula>LEN(TRIM(I1))=0</formula>
    </cfRule>
  </conditionalFormatting>
  <conditionalFormatting sqref="I1:I1048576">
    <cfRule type="containsBlanks" dxfId="2" priority="30">
      <formula>LEN(TRIM(I1))=0</formula>
    </cfRule>
  </conditionalFormatting>
  <conditionalFormatting sqref="I3">
    <cfRule type="notContainsBlanks" dxfId="1" priority="4">
      <formula>LEN(TRIM(I3))&gt;0</formula>
    </cfRule>
  </conditionalFormatting>
  <conditionalFormatting sqref="L11:L12">
    <cfRule type="cellIs" dxfId="0" priority="1" operator="between">
      <formula>0.65</formula>
      <formula>0.74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9997-21E3-4438-AC67-82E4E620DB3D}">
  <dimension ref="B1:F33"/>
  <sheetViews>
    <sheetView workbookViewId="0">
      <selection activeCell="K24" sqref="K24"/>
    </sheetView>
  </sheetViews>
  <sheetFormatPr defaultRowHeight="14.4" x14ac:dyDescent="0.3"/>
  <cols>
    <col min="2" max="2" width="23.6640625" customWidth="1"/>
    <col min="3" max="3" width="20.44140625" customWidth="1"/>
    <col min="4" max="4" width="17.6640625" customWidth="1"/>
    <col min="5" max="5" width="12.5546875" customWidth="1"/>
    <col min="6" max="6" width="16.6640625" customWidth="1"/>
  </cols>
  <sheetData>
    <row r="1" spans="2:6" ht="15" thickBot="1" x14ac:dyDescent="0.35"/>
    <row r="2" spans="2:6" ht="25.95" customHeight="1" thickBot="1" x14ac:dyDescent="0.35">
      <c r="B2" s="53" t="s">
        <v>48</v>
      </c>
      <c r="C2" s="54"/>
      <c r="D2" s="54"/>
      <c r="E2" s="54"/>
      <c r="F2" s="55"/>
    </row>
    <row r="3" spans="2:6" x14ac:dyDescent="0.3">
      <c r="B3" s="20" t="s">
        <v>49</v>
      </c>
      <c r="C3" s="21" t="s">
        <v>50</v>
      </c>
      <c r="D3" s="21" t="s">
        <v>51</v>
      </c>
      <c r="E3" s="21" t="s">
        <v>52</v>
      </c>
      <c r="F3" s="22" t="s">
        <v>53</v>
      </c>
    </row>
    <row r="4" spans="2:6" x14ac:dyDescent="0.3">
      <c r="B4" s="23" t="s">
        <v>54</v>
      </c>
      <c r="C4" s="24" t="s">
        <v>55</v>
      </c>
      <c r="D4" s="24" t="s">
        <v>55</v>
      </c>
      <c r="E4" s="24" t="s">
        <v>56</v>
      </c>
      <c r="F4" s="25" t="s">
        <v>57</v>
      </c>
    </row>
    <row r="5" spans="2:6" x14ac:dyDescent="0.3">
      <c r="B5" s="23" t="s">
        <v>58</v>
      </c>
      <c r="C5" s="24" t="s">
        <v>59</v>
      </c>
      <c r="D5" s="24" t="s">
        <v>59</v>
      </c>
      <c r="E5" s="24" t="s">
        <v>60</v>
      </c>
      <c r="F5" s="25" t="s">
        <v>61</v>
      </c>
    </row>
    <row r="6" spans="2:6" ht="15" thickBot="1" x14ac:dyDescent="0.35">
      <c r="B6" s="26" t="s">
        <v>62</v>
      </c>
      <c r="C6" s="27" t="s">
        <v>55</v>
      </c>
      <c r="D6" s="27" t="s">
        <v>55</v>
      </c>
      <c r="E6" s="27" t="s">
        <v>63</v>
      </c>
      <c r="F6" s="28" t="s">
        <v>64</v>
      </c>
    </row>
    <row r="7" spans="2:6" ht="15" thickBot="1" x14ac:dyDescent="0.35"/>
    <row r="8" spans="2:6" ht="21" x14ac:dyDescent="0.3">
      <c r="B8" s="56" t="s">
        <v>65</v>
      </c>
      <c r="C8" s="57"/>
      <c r="D8" s="57"/>
      <c r="E8" s="57"/>
      <c r="F8" s="58"/>
    </row>
    <row r="9" spans="2:6" x14ac:dyDescent="0.3">
      <c r="B9" s="20" t="s">
        <v>49</v>
      </c>
      <c r="C9" s="21" t="s">
        <v>50</v>
      </c>
      <c r="D9" s="21" t="s">
        <v>51</v>
      </c>
      <c r="E9" s="21" t="s">
        <v>52</v>
      </c>
      <c r="F9" s="22" t="s">
        <v>53</v>
      </c>
    </row>
    <row r="10" spans="2:6" x14ac:dyDescent="0.3">
      <c r="B10" s="23" t="s">
        <v>3</v>
      </c>
      <c r="C10" s="24" t="s">
        <v>66</v>
      </c>
      <c r="D10" s="24" t="s">
        <v>67</v>
      </c>
      <c r="E10" s="24" t="s">
        <v>68</v>
      </c>
      <c r="F10" s="25" t="s">
        <v>69</v>
      </c>
    </row>
    <row r="11" spans="2:6" x14ac:dyDescent="0.3">
      <c r="B11" s="23" t="s">
        <v>70</v>
      </c>
      <c r="C11" s="24" t="s">
        <v>71</v>
      </c>
      <c r="D11" s="24" t="s">
        <v>72</v>
      </c>
      <c r="E11" s="24" t="s">
        <v>73</v>
      </c>
      <c r="F11" s="25" t="s">
        <v>74</v>
      </c>
    </row>
    <row r="12" spans="2:6" ht="15" thickBot="1" x14ac:dyDescent="0.35">
      <c r="B12" s="26" t="s">
        <v>75</v>
      </c>
      <c r="C12" s="27" t="s">
        <v>76</v>
      </c>
      <c r="D12" s="27" t="s">
        <v>77</v>
      </c>
      <c r="E12" s="27" t="s">
        <v>78</v>
      </c>
      <c r="F12" s="28" t="s">
        <v>79</v>
      </c>
    </row>
    <row r="13" spans="2:6" ht="21" x14ac:dyDescent="0.3">
      <c r="B13" s="29"/>
    </row>
    <row r="14" spans="2:6" ht="21" x14ac:dyDescent="0.3">
      <c r="B14" s="59" t="s">
        <v>80</v>
      </c>
      <c r="C14" s="59"/>
      <c r="D14" s="59"/>
      <c r="E14" s="59"/>
      <c r="F14" s="59"/>
    </row>
    <row r="15" spans="2:6" x14ac:dyDescent="0.3">
      <c r="B15" s="20" t="s">
        <v>49</v>
      </c>
      <c r="C15" s="21" t="s">
        <v>50</v>
      </c>
      <c r="D15" s="21" t="s">
        <v>51</v>
      </c>
      <c r="E15" s="21" t="s">
        <v>52</v>
      </c>
      <c r="F15" s="22" t="s">
        <v>53</v>
      </c>
    </row>
    <row r="16" spans="2:6" x14ac:dyDescent="0.3">
      <c r="B16" s="23" t="s">
        <v>2</v>
      </c>
      <c r="C16" s="24" t="s">
        <v>55</v>
      </c>
      <c r="D16" s="24" t="s">
        <v>81</v>
      </c>
      <c r="E16" s="24" t="s">
        <v>82</v>
      </c>
      <c r="F16" s="25" t="s">
        <v>64</v>
      </c>
    </row>
    <row r="17" spans="2:6" x14ac:dyDescent="0.3">
      <c r="B17" s="23" t="s">
        <v>83</v>
      </c>
      <c r="C17" s="24" t="s">
        <v>84</v>
      </c>
      <c r="D17" s="24" t="s">
        <v>85</v>
      </c>
      <c r="E17" s="24" t="s">
        <v>86</v>
      </c>
      <c r="F17" s="25" t="s">
        <v>87</v>
      </c>
    </row>
    <row r="18" spans="2:6" ht="15" thickBot="1" x14ac:dyDescent="0.35">
      <c r="B18" s="3" t="s">
        <v>88</v>
      </c>
      <c r="C18" s="7" t="s">
        <v>89</v>
      </c>
      <c r="D18" s="7" t="s">
        <v>90</v>
      </c>
      <c r="E18" s="7" t="s">
        <v>91</v>
      </c>
      <c r="F18" s="30" t="s">
        <v>92</v>
      </c>
    </row>
    <row r="20" spans="2:6" ht="15" thickBot="1" x14ac:dyDescent="0.35"/>
    <row r="21" spans="2:6" ht="21.6" thickBot="1" x14ac:dyDescent="0.35">
      <c r="B21" s="60" t="s">
        <v>93</v>
      </c>
      <c r="C21" s="61"/>
      <c r="D21" s="62"/>
    </row>
    <row r="22" spans="2:6" x14ac:dyDescent="0.3">
      <c r="B22" s="20" t="s">
        <v>94</v>
      </c>
      <c r="C22" s="21" t="s">
        <v>95</v>
      </c>
      <c r="D22" s="22" t="s">
        <v>96</v>
      </c>
    </row>
    <row r="23" spans="2:6" ht="28.8" x14ac:dyDescent="0.3">
      <c r="B23" s="23" t="s">
        <v>97</v>
      </c>
      <c r="C23" s="24" t="s">
        <v>98</v>
      </c>
      <c r="D23" s="25" t="s">
        <v>99</v>
      </c>
    </row>
    <row r="24" spans="2:6" ht="28.8" x14ac:dyDescent="0.3">
      <c r="B24" s="23" t="s">
        <v>100</v>
      </c>
      <c r="C24" s="24" t="s">
        <v>101</v>
      </c>
      <c r="D24" s="25" t="s">
        <v>102</v>
      </c>
    </row>
    <row r="25" spans="2:6" ht="28.8" x14ac:dyDescent="0.3">
      <c r="B25" s="23" t="s">
        <v>103</v>
      </c>
      <c r="C25" s="24" t="s">
        <v>104</v>
      </c>
      <c r="D25" s="25" t="s">
        <v>105</v>
      </c>
    </row>
    <row r="26" spans="2:6" ht="29.4" thickBot="1" x14ac:dyDescent="0.35">
      <c r="B26" s="26" t="s">
        <v>106</v>
      </c>
      <c r="C26" s="27" t="s">
        <v>107</v>
      </c>
      <c r="D26" s="28" t="s">
        <v>108</v>
      </c>
    </row>
    <row r="27" spans="2:6" ht="15" thickBot="1" x14ac:dyDescent="0.35"/>
    <row r="28" spans="2:6" ht="21.6" thickBot="1" x14ac:dyDescent="0.35">
      <c r="B28" s="63" t="s">
        <v>109</v>
      </c>
      <c r="C28" s="64"/>
      <c r="D28" s="31"/>
    </row>
    <row r="29" spans="2:6" x14ac:dyDescent="0.3">
      <c r="B29" s="20" t="s">
        <v>110</v>
      </c>
      <c r="C29" s="22" t="s">
        <v>111</v>
      </c>
    </row>
    <row r="30" spans="2:6" ht="43.2" x14ac:dyDescent="0.3">
      <c r="B30" s="23" t="s">
        <v>112</v>
      </c>
      <c r="C30" s="25" t="s">
        <v>113</v>
      </c>
    </row>
    <row r="31" spans="2:6" ht="28.8" x14ac:dyDescent="0.3">
      <c r="B31" s="23" t="s">
        <v>114</v>
      </c>
      <c r="C31" s="25" t="s">
        <v>115</v>
      </c>
    </row>
    <row r="32" spans="2:6" ht="28.8" x14ac:dyDescent="0.3">
      <c r="B32" s="23" t="s">
        <v>116</v>
      </c>
      <c r="C32" s="25" t="s">
        <v>117</v>
      </c>
    </row>
    <row r="33" spans="2:3" ht="43.8" thickBot="1" x14ac:dyDescent="0.35">
      <c r="B33" s="26" t="s">
        <v>118</v>
      </c>
      <c r="C33" s="28" t="s">
        <v>119</v>
      </c>
    </row>
  </sheetData>
  <mergeCells count="5">
    <mergeCell ref="B2:F2"/>
    <mergeCell ref="B8:F8"/>
    <mergeCell ref="B14:F14"/>
    <mergeCell ref="B21:D21"/>
    <mergeCell ref="B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F0C-79D1-4CF9-A6EF-B10FF8978C75}">
  <dimension ref="A1:H21"/>
  <sheetViews>
    <sheetView workbookViewId="0">
      <selection activeCell="D11" sqref="D11"/>
    </sheetView>
  </sheetViews>
  <sheetFormatPr defaultRowHeight="14.4" x14ac:dyDescent="0.3"/>
  <cols>
    <col min="1" max="1" width="18.33203125" customWidth="1"/>
    <col min="2" max="2" width="15.88671875" customWidth="1"/>
    <col min="3" max="3" width="17.33203125" customWidth="1"/>
    <col min="4" max="4" width="10.6640625" customWidth="1"/>
    <col min="5" max="5" width="15.88671875" customWidth="1"/>
    <col min="7" max="7" width="15.33203125" customWidth="1"/>
    <col min="8" max="8" width="13.6640625" customWidth="1"/>
  </cols>
  <sheetData>
    <row r="1" spans="1:8" ht="15" thickBot="1" x14ac:dyDescent="0.35">
      <c r="A1" s="67" t="s">
        <v>45</v>
      </c>
      <c r="B1" s="67"/>
      <c r="C1" s="67"/>
      <c r="D1" s="67"/>
      <c r="E1" s="67"/>
      <c r="F1" s="67"/>
      <c r="G1" s="67"/>
      <c r="H1" s="67"/>
    </row>
    <row r="2" spans="1:8" ht="15" thickBot="1" x14ac:dyDescent="0.35">
      <c r="A2" s="65" t="s">
        <v>33</v>
      </c>
      <c r="B2" s="66"/>
      <c r="C2" s="65" t="s">
        <v>34</v>
      </c>
      <c r="D2" s="66"/>
      <c r="E2" s="65" t="s">
        <v>40</v>
      </c>
      <c r="F2" s="66"/>
      <c r="G2" s="65" t="s">
        <v>42</v>
      </c>
      <c r="H2" s="66"/>
    </row>
    <row r="3" spans="1:8" x14ac:dyDescent="0.3">
      <c r="A3" s="18" t="s">
        <v>10</v>
      </c>
      <c r="B3" s="19" t="s">
        <v>11</v>
      </c>
      <c r="C3" s="18" t="s">
        <v>10</v>
      </c>
      <c r="D3" s="19" t="s">
        <v>11</v>
      </c>
      <c r="E3" s="18" t="s">
        <v>10</v>
      </c>
      <c r="F3" s="19" t="s">
        <v>11</v>
      </c>
      <c r="G3" s="18" t="s">
        <v>10</v>
      </c>
      <c r="H3" s="19" t="s">
        <v>11</v>
      </c>
    </row>
    <row r="4" spans="1:8" x14ac:dyDescent="0.3">
      <c r="A4" s="10" t="s">
        <v>12</v>
      </c>
      <c r="B4" s="11">
        <v>0.22</v>
      </c>
      <c r="C4" s="10" t="s">
        <v>14</v>
      </c>
      <c r="D4" s="11">
        <v>200</v>
      </c>
      <c r="E4" s="10" t="s">
        <v>14</v>
      </c>
      <c r="F4" s="11">
        <v>200</v>
      </c>
      <c r="G4" s="10" t="s">
        <v>43</v>
      </c>
      <c r="H4" s="11">
        <v>2000</v>
      </c>
    </row>
    <row r="5" spans="1:8" x14ac:dyDescent="0.3">
      <c r="A5" s="10" t="s">
        <v>14</v>
      </c>
      <c r="B5" s="11">
        <v>800</v>
      </c>
      <c r="C5" s="10" t="s">
        <v>13</v>
      </c>
      <c r="D5" s="11">
        <v>15</v>
      </c>
      <c r="E5" s="10" t="s">
        <v>13</v>
      </c>
      <c r="F5" s="11">
        <v>7</v>
      </c>
      <c r="G5" s="10" t="s">
        <v>23</v>
      </c>
      <c r="H5" s="11">
        <v>42</v>
      </c>
    </row>
    <row r="6" spans="1:8" x14ac:dyDescent="0.3">
      <c r="A6" s="10" t="s">
        <v>13</v>
      </c>
      <c r="B6" s="11">
        <v>3</v>
      </c>
      <c r="C6" s="10" t="s">
        <v>35</v>
      </c>
      <c r="D6" s="11">
        <v>3</v>
      </c>
      <c r="E6" s="10" t="s">
        <v>15</v>
      </c>
      <c r="F6" s="11">
        <v>0.05</v>
      </c>
      <c r="G6" s="10" t="s">
        <v>37</v>
      </c>
      <c r="H6" s="13" t="s">
        <v>46</v>
      </c>
    </row>
    <row r="7" spans="1:8" x14ac:dyDescent="0.3">
      <c r="A7" s="10" t="s">
        <v>15</v>
      </c>
      <c r="B7" s="11">
        <v>0.01</v>
      </c>
      <c r="C7" s="10" t="s">
        <v>36</v>
      </c>
      <c r="D7" s="11">
        <v>1</v>
      </c>
      <c r="E7" s="10" t="s">
        <v>16</v>
      </c>
      <c r="F7" s="11">
        <v>0.8</v>
      </c>
      <c r="G7" s="10" t="s">
        <v>44</v>
      </c>
      <c r="H7" s="13" t="s">
        <v>47</v>
      </c>
    </row>
    <row r="8" spans="1:8" x14ac:dyDescent="0.3">
      <c r="A8" s="10" t="s">
        <v>16</v>
      </c>
      <c r="B8" s="11">
        <v>0.9</v>
      </c>
      <c r="C8" s="10" t="s">
        <v>37</v>
      </c>
      <c r="D8" s="13" t="s">
        <v>38</v>
      </c>
      <c r="E8" s="10" t="s">
        <v>41</v>
      </c>
      <c r="F8" s="11">
        <v>42</v>
      </c>
      <c r="G8" s="16"/>
      <c r="H8" s="2"/>
    </row>
    <row r="9" spans="1:8" x14ac:dyDescent="0.3">
      <c r="A9" s="10" t="s">
        <v>17</v>
      </c>
      <c r="B9" s="11">
        <v>0.9</v>
      </c>
      <c r="C9" s="10" t="s">
        <v>23</v>
      </c>
      <c r="D9" s="11">
        <v>42</v>
      </c>
      <c r="E9" s="10"/>
      <c r="F9" s="11"/>
      <c r="G9" s="16"/>
      <c r="H9" s="2"/>
    </row>
    <row r="10" spans="1:8" x14ac:dyDescent="0.3">
      <c r="A10" s="10" t="s">
        <v>18</v>
      </c>
      <c r="B10" s="11">
        <v>0.9</v>
      </c>
      <c r="C10" s="10" t="s">
        <v>39</v>
      </c>
      <c r="D10" s="11">
        <v>-1</v>
      </c>
      <c r="E10" s="10"/>
      <c r="F10" s="11"/>
      <c r="G10" s="16"/>
      <c r="H10" s="2"/>
    </row>
    <row r="11" spans="1:8" ht="43.2" x14ac:dyDescent="0.3">
      <c r="A11" s="10" t="s">
        <v>29</v>
      </c>
      <c r="B11" s="12" t="s">
        <v>30</v>
      </c>
      <c r="C11" s="10"/>
      <c r="D11" s="11"/>
      <c r="E11" s="10"/>
      <c r="F11" s="11"/>
      <c r="G11" s="16"/>
      <c r="H11" s="2"/>
    </row>
    <row r="12" spans="1:8" x14ac:dyDescent="0.3">
      <c r="A12" s="10" t="s">
        <v>19</v>
      </c>
      <c r="B12" s="11">
        <v>1</v>
      </c>
      <c r="C12" s="10"/>
      <c r="D12" s="11"/>
      <c r="E12" s="10"/>
      <c r="F12" s="11"/>
      <c r="G12" s="16"/>
      <c r="H12" s="2"/>
    </row>
    <row r="13" spans="1:8" x14ac:dyDescent="0.3">
      <c r="A13" s="10" t="s">
        <v>20</v>
      </c>
      <c r="B13" s="11">
        <v>0.05</v>
      </c>
      <c r="C13" s="10"/>
      <c r="D13" s="11"/>
      <c r="E13" s="10"/>
      <c r="F13" s="11"/>
      <c r="G13" s="16"/>
      <c r="H13" s="2"/>
    </row>
    <row r="14" spans="1:8" x14ac:dyDescent="0.3">
      <c r="A14" s="10" t="s">
        <v>21</v>
      </c>
      <c r="B14" s="11">
        <v>0.1</v>
      </c>
      <c r="C14" s="10"/>
      <c r="D14" s="11"/>
      <c r="E14" s="10"/>
      <c r="F14" s="11"/>
      <c r="G14" s="16"/>
      <c r="H14" s="2"/>
    </row>
    <row r="15" spans="1:8" x14ac:dyDescent="0.3">
      <c r="A15" s="10" t="s">
        <v>22</v>
      </c>
      <c r="B15" s="11">
        <v>0.8</v>
      </c>
      <c r="C15" s="10"/>
      <c r="D15" s="11"/>
      <c r="E15" s="10"/>
      <c r="F15" s="11"/>
      <c r="G15" s="16"/>
      <c r="H15" s="2"/>
    </row>
    <row r="16" spans="1:8" x14ac:dyDescent="0.3">
      <c r="A16" s="10" t="s">
        <v>23</v>
      </c>
      <c r="B16" s="11">
        <v>42</v>
      </c>
      <c r="C16" s="10"/>
      <c r="D16" s="11"/>
      <c r="E16" s="10"/>
      <c r="F16" s="11"/>
      <c r="G16" s="16"/>
      <c r="H16" s="2"/>
    </row>
    <row r="17" spans="1:8" x14ac:dyDescent="0.3">
      <c r="A17" s="10" t="s">
        <v>24</v>
      </c>
      <c r="B17" s="13" t="s">
        <v>31</v>
      </c>
      <c r="C17" s="10"/>
      <c r="D17" s="11"/>
      <c r="E17" s="10"/>
      <c r="F17" s="11"/>
      <c r="G17" s="16"/>
      <c r="H17" s="2"/>
    </row>
    <row r="18" spans="1:8" x14ac:dyDescent="0.3">
      <c r="A18" s="10" t="s">
        <v>25</v>
      </c>
      <c r="B18" s="11" t="b">
        <v>0</v>
      </c>
      <c r="C18" s="10"/>
      <c r="D18" s="11"/>
      <c r="E18" s="10"/>
      <c r="F18" s="11"/>
      <c r="G18" s="16"/>
      <c r="H18" s="2"/>
    </row>
    <row r="19" spans="1:8" x14ac:dyDescent="0.3">
      <c r="A19" s="10" t="s">
        <v>26</v>
      </c>
      <c r="B19" s="13" t="s">
        <v>32</v>
      </c>
      <c r="C19" s="10"/>
      <c r="D19" s="11"/>
      <c r="E19" s="10"/>
      <c r="F19" s="11"/>
      <c r="G19" s="16"/>
      <c r="H19" s="2"/>
    </row>
    <row r="20" spans="1:8" x14ac:dyDescent="0.3">
      <c r="A20" s="10" t="s">
        <v>27</v>
      </c>
      <c r="B20" s="11">
        <v>512</v>
      </c>
      <c r="C20" s="10"/>
      <c r="D20" s="11"/>
      <c r="E20" s="10"/>
      <c r="F20" s="11"/>
      <c r="G20" s="16"/>
      <c r="H20" s="2"/>
    </row>
    <row r="21" spans="1:8" ht="15" thickBot="1" x14ac:dyDescent="0.35">
      <c r="A21" s="14" t="s">
        <v>28</v>
      </c>
      <c r="B21" s="15">
        <v>0.1</v>
      </c>
      <c r="C21" s="14"/>
      <c r="D21" s="15"/>
      <c r="E21" s="14"/>
      <c r="F21" s="15"/>
      <c r="G21" s="17"/>
      <c r="H21" s="4"/>
    </row>
  </sheetData>
  <mergeCells count="5">
    <mergeCell ref="A2:B2"/>
    <mergeCell ref="C2:D2"/>
    <mergeCell ref="E2:F2"/>
    <mergeCell ref="G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 Summary</vt:lpstr>
      <vt:lpstr>Performance metrics</vt:lpstr>
      <vt:lpstr>Model and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Alagiya</cp:lastModifiedBy>
  <dcterms:created xsi:type="dcterms:W3CDTF">2026-01-27T17:46:42Z</dcterms:created>
  <dcterms:modified xsi:type="dcterms:W3CDTF">2026-02-12T18:33:32Z</dcterms:modified>
</cp:coreProperties>
</file>